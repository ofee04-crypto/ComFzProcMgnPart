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works\JavaLab\ComFzProcMgnPart\backend\src\main\resources\"/>
    </mc:Choice>
  </mc:AlternateContent>
  <xr:revisionPtr revIDLastSave="0" documentId="13_ncr:1_{39ADC780-96E9-4FF9-88EA-7C7C144345CC}" xr6:coauthVersionLast="47" xr6:coauthVersionMax="47" xr10:uidLastSave="{00000000-0000-0000-0000-000000000000}"/>
  <bookViews>
    <workbookView xWindow="-28908" yWindow="540" windowWidth="29016" windowHeight="15696" activeTab="1" xr2:uid="{00000000-000D-0000-FFFF-FFFF00000000}"/>
  </bookViews>
  <sheets>
    <sheet name="Cases" sheetId="1" r:id="rId1"/>
    <sheet name="客戶報告" sheetId="3" r:id="rId2"/>
  </sheets>
  <definedNames>
    <definedName name="_xlnm.Print_Area" localSheetId="1">客戶報告!$A$1:$N$28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M6" i="3"/>
  <c r="K6" i="3"/>
  <c r="J7" i="3"/>
  <c r="L7" i="3" s="1"/>
  <c r="J8" i="3"/>
  <c r="L8" i="3" s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6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D10" i="3"/>
  <c r="H6" i="3"/>
  <c r="A22" i="3"/>
  <c r="A23" i="3"/>
  <c r="A24" i="3"/>
  <c r="A25" i="3"/>
  <c r="I25" i="3"/>
  <c r="H25" i="3"/>
  <c r="D25" i="3"/>
  <c r="C25" i="3"/>
  <c r="B25" i="3"/>
  <c r="I24" i="3"/>
  <c r="H24" i="3"/>
  <c r="D24" i="3"/>
  <c r="C24" i="3"/>
  <c r="B24" i="3"/>
  <c r="I23" i="3"/>
  <c r="H23" i="3"/>
  <c r="D23" i="3"/>
  <c r="C23" i="3"/>
  <c r="B23" i="3"/>
  <c r="I22" i="3"/>
  <c r="H22" i="3"/>
  <c r="D22" i="3"/>
  <c r="C22" i="3"/>
  <c r="B22" i="3"/>
  <c r="I21" i="3"/>
  <c r="H21" i="3"/>
  <c r="D21" i="3"/>
  <c r="C21" i="3"/>
  <c r="B21" i="3"/>
  <c r="I20" i="3"/>
  <c r="H20" i="3"/>
  <c r="D20" i="3"/>
  <c r="C20" i="3"/>
  <c r="B20" i="3"/>
  <c r="I19" i="3"/>
  <c r="H19" i="3"/>
  <c r="D19" i="3"/>
  <c r="C19" i="3"/>
  <c r="B19" i="3"/>
  <c r="I18" i="3"/>
  <c r="H18" i="3"/>
  <c r="D18" i="3"/>
  <c r="C18" i="3"/>
  <c r="B18" i="3"/>
  <c r="I17" i="3"/>
  <c r="H17" i="3"/>
  <c r="D17" i="3"/>
  <c r="C17" i="3"/>
  <c r="B17" i="3"/>
  <c r="I16" i="3"/>
  <c r="H16" i="3"/>
  <c r="D16" i="3"/>
  <c r="C16" i="3"/>
  <c r="B16" i="3"/>
  <c r="I15" i="3"/>
  <c r="H15" i="3"/>
  <c r="D15" i="3"/>
  <c r="C15" i="3"/>
  <c r="B15" i="3"/>
  <c r="I14" i="3"/>
  <c r="H14" i="3"/>
  <c r="D14" i="3"/>
  <c r="C14" i="3"/>
  <c r="B14" i="3"/>
  <c r="I13" i="3"/>
  <c r="H13" i="3"/>
  <c r="D13" i="3"/>
  <c r="C13" i="3"/>
  <c r="B13" i="3"/>
  <c r="I12" i="3"/>
  <c r="H12" i="3"/>
  <c r="D12" i="3"/>
  <c r="C12" i="3"/>
  <c r="B12" i="3"/>
  <c r="I11" i="3"/>
  <c r="H11" i="3"/>
  <c r="D11" i="3"/>
  <c r="C11" i="3"/>
  <c r="B11" i="3"/>
  <c r="I10" i="3"/>
  <c r="H10" i="3"/>
  <c r="C10" i="3"/>
  <c r="B10" i="3"/>
  <c r="I9" i="3"/>
  <c r="H9" i="3"/>
  <c r="D9" i="3"/>
  <c r="C9" i="3"/>
  <c r="B9" i="3"/>
  <c r="I8" i="3"/>
  <c r="H8" i="3"/>
  <c r="D8" i="3"/>
  <c r="C8" i="3"/>
  <c r="B8" i="3"/>
  <c r="I7" i="3"/>
  <c r="H7" i="3"/>
  <c r="D7" i="3"/>
  <c r="C7" i="3"/>
  <c r="B7" i="3"/>
  <c r="C6" i="3"/>
  <c r="D6" i="3"/>
  <c r="I6" i="3"/>
  <c r="B6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L6" i="3" l="1"/>
  <c r="M27" i="3"/>
  <c r="M28" i="3"/>
</calcChain>
</file>

<file path=xl/sharedStrings.xml><?xml version="1.0" encoding="utf-8"?>
<sst xmlns="http://schemas.openxmlformats.org/spreadsheetml/2006/main" count="36" uniqueCount="36">
  <si>
    <t>合約編號</t>
  </si>
  <si>
    <t>合約名稱</t>
  </si>
  <si>
    <t>案件編號</t>
  </si>
  <si>
    <t>任務名稱</t>
  </si>
  <si>
    <t>委派日期</t>
  </si>
  <si>
    <t>實際完成日</t>
  </si>
  <si>
    <t>實際時數</t>
  </si>
  <si>
    <t>時數費用</t>
  </si>
  <si>
    <t>事件費用</t>
  </si>
  <si>
    <t>結餘</t>
  </si>
  <si>
    <t>承辦人</t>
  </si>
  <si>
    <t>備註</t>
  </si>
  <si>
    <t>智慧財產顧問服務暨工時報告表</t>
    <phoneticPr fontId="6" type="noConversion"/>
  </si>
  <si>
    <t>項次</t>
    <phoneticPr fontId="6" type="noConversion"/>
  </si>
  <si>
    <t>事件編號</t>
    <phoneticPr fontId="6" type="noConversion"/>
  </si>
  <si>
    <t>預計完成日</t>
    <phoneticPr fontId="3" type="noConversion"/>
  </si>
  <si>
    <t>工作項目簡述</t>
  </si>
  <si>
    <t>預計使用時數</t>
    <phoneticPr fontId="3" type="noConversion"/>
  </si>
  <si>
    <t>任務名稱</t>
    <phoneticPr fontId="6" type="noConversion"/>
  </si>
  <si>
    <t>工作項目簡述</t>
    <phoneticPr fontId="6" type="noConversion"/>
  </si>
  <si>
    <t>委派日期</t>
    <phoneticPr fontId="6" type="noConversion"/>
  </si>
  <si>
    <t>預計完成日</t>
    <phoneticPr fontId="6" type="noConversion"/>
  </si>
  <si>
    <t>預計使用時數</t>
    <phoneticPr fontId="6" type="noConversion"/>
  </si>
  <si>
    <t>實際完成日</t>
    <phoneticPr fontId="6" type="noConversion"/>
  </si>
  <si>
    <t>實際使用時數</t>
    <phoneticPr fontId="6" type="noConversion"/>
  </si>
  <si>
    <t>時數費用</t>
    <phoneticPr fontId="6" type="noConversion"/>
  </si>
  <si>
    <t>事件費用</t>
    <phoneticPr fontId="6" type="noConversion"/>
  </si>
  <si>
    <t>費用小計</t>
    <phoneticPr fontId="6" type="noConversion"/>
  </si>
  <si>
    <t>額度結餘</t>
    <phoneticPr fontId="6" type="noConversion"/>
  </si>
  <si>
    <t>備註</t>
    <phoneticPr fontId="6" type="noConversion"/>
  </si>
  <si>
    <t xml:space="preserve"> 執行期間:</t>
    <phoneticPr fontId="6" type="noConversion"/>
  </si>
  <si>
    <t xml:space="preserve"> 製表人:</t>
    <phoneticPr fontId="6" type="noConversion"/>
  </si>
  <si>
    <t xml:space="preserve"> 執行期間費用總計:</t>
    <phoneticPr fontId="6" type="noConversion"/>
  </si>
  <si>
    <t>期末額度結餘</t>
    <phoneticPr fontId="6" type="noConversion"/>
  </si>
  <si>
    <t xml:space="preserve">客戶名稱: </t>
    <phoneticPr fontId="3" type="noConversion"/>
  </si>
  <si>
    <t xml:space="preserve">客戶編號: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</si>
</sst>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7" formatCode="_-* #,##0_-;\-* #,##0_-;_-* &quot;-&quot;??_-;_-@_-"/>
    <numFmt numFmtId="178" formatCode="m&quot;月&quot;d&quot;日&quot;"/>
  </numFmts>
  <fonts count="12" x14ac:knownFonts="1">
    <font>
      <sz val="11"/>
      <color indexed="8"/>
      <name val="新細明體"/>
      <family val="2"/>
      <scheme val="minor"/>
    </font>
    <font>
      <sz val="12"/>
      <color theme="1"/>
      <name val="標楷體"/>
      <family val="2"/>
      <charset val="136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  <font>
      <sz val="11"/>
      <color indexed="8"/>
      <name val="新細明體"/>
      <family val="2"/>
      <scheme val="minor"/>
    </font>
    <font>
      <sz val="14"/>
      <color theme="1"/>
      <name val="標楷體"/>
      <family val="4"/>
      <charset val="136"/>
    </font>
    <font>
      <sz val="9"/>
      <name val="標楷體"/>
      <family val="2"/>
      <charset val="136"/>
    </font>
    <font>
      <sz val="12"/>
      <color theme="1"/>
      <name val="標楷體"/>
      <family val="4"/>
      <charset val="136"/>
    </font>
    <font>
      <b/>
      <sz val="1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u/>
      <sz val="11"/>
      <color theme="10"/>
      <name val="新細明體"/>
      <family val="2"/>
      <scheme val="minor"/>
    </font>
    <font>
      <sz val="2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 applyAlignment="1"/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14" fontId="5" fillId="0" borderId="0" xfId="2" applyNumberFormat="1" applyFont="1" applyAlignment="1">
      <alignment vertical="center" wrapText="1"/>
    </xf>
    <xf numFmtId="0" fontId="5" fillId="0" borderId="1" xfId="2" applyFont="1" applyBorder="1">
      <alignment vertical="center"/>
    </xf>
    <xf numFmtId="0" fontId="5" fillId="0" borderId="2" xfId="2" applyFont="1" applyBorder="1" applyAlignment="1">
      <alignment vertical="center" wrapText="1"/>
    </xf>
    <xf numFmtId="14" fontId="5" fillId="0" borderId="2" xfId="2" applyNumberFormat="1" applyFont="1" applyBorder="1" applyAlignment="1">
      <alignment vertical="center" wrapText="1"/>
    </xf>
    <xf numFmtId="0" fontId="5" fillId="0" borderId="3" xfId="2" applyFont="1" applyBorder="1" applyAlignment="1">
      <alignment vertical="center" wrapText="1"/>
    </xf>
    <xf numFmtId="22" fontId="5" fillId="0" borderId="0" xfId="2" applyNumberFormat="1" applyFont="1" applyAlignment="1">
      <alignment vertical="center" wrapText="1"/>
    </xf>
    <xf numFmtId="0" fontId="5" fillId="0" borderId="7" xfId="2" applyFont="1" applyBorder="1">
      <alignment vertical="center"/>
    </xf>
    <xf numFmtId="14" fontId="5" fillId="0" borderId="7" xfId="2" applyNumberFormat="1" applyFont="1" applyBorder="1">
      <alignment vertical="center"/>
    </xf>
    <xf numFmtId="0" fontId="5" fillId="0" borderId="7" xfId="2" applyFont="1" applyBorder="1" applyAlignment="1">
      <alignment vertical="center" wrapText="1"/>
    </xf>
    <xf numFmtId="0" fontId="5" fillId="0" borderId="9" xfId="2" applyFont="1" applyBorder="1">
      <alignment vertical="center"/>
    </xf>
    <xf numFmtId="0" fontId="5" fillId="0" borderId="9" xfId="2" applyFont="1" applyBorder="1" applyAlignment="1">
      <alignment vertical="center" wrapText="1"/>
    </xf>
    <xf numFmtId="14" fontId="5" fillId="0" borderId="9" xfId="2" applyNumberFormat="1" applyFont="1" applyBorder="1">
      <alignment vertical="center"/>
    </xf>
    <xf numFmtId="0" fontId="5" fillId="0" borderId="10" xfId="2" applyFont="1" applyBorder="1">
      <alignment vertical="center"/>
    </xf>
    <xf numFmtId="14" fontId="5" fillId="0" borderId="0" xfId="2" applyNumberFormat="1" applyFont="1">
      <alignment vertical="center"/>
    </xf>
    <xf numFmtId="0" fontId="8" fillId="2" borderId="0" xfId="0" applyFont="1" applyFill="1" applyAlignment="1"/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10" fillId="0" borderId="0" xfId="4">
      <alignment vertical="center"/>
    </xf>
    <xf numFmtId="177" fontId="5" fillId="0" borderId="0" xfId="1" applyNumberFormat="1" applyFont="1" applyAlignment="1">
      <alignment vertical="center" wrapText="1"/>
    </xf>
    <xf numFmtId="177" fontId="5" fillId="0" borderId="2" xfId="1" applyNumberFormat="1" applyFont="1" applyBorder="1" applyAlignment="1">
      <alignment vertical="center" wrapText="1"/>
    </xf>
    <xf numFmtId="177" fontId="5" fillId="0" borderId="7" xfId="1" applyNumberFormat="1" applyFont="1" applyBorder="1">
      <alignment vertical="center"/>
    </xf>
    <xf numFmtId="177" fontId="5" fillId="0" borderId="0" xfId="1" applyNumberFormat="1" applyFont="1">
      <alignment vertical="center"/>
    </xf>
    <xf numFmtId="177" fontId="5" fillId="0" borderId="9" xfId="1" applyNumberFormat="1" applyFont="1" applyBorder="1">
      <alignment vertical="center"/>
    </xf>
    <xf numFmtId="178" fontId="0" fillId="0" borderId="0" xfId="0" applyNumberFormat="1">
      <alignment vertical="center"/>
    </xf>
    <xf numFmtId="14" fontId="5" fillId="0" borderId="0" xfId="3" applyNumberFormat="1" applyFont="1" applyAlignment="1">
      <alignment vertical="center" wrapText="1"/>
    </xf>
    <xf numFmtId="14" fontId="5" fillId="0" borderId="7" xfId="3" applyNumberFormat="1" applyFont="1" applyBorder="1" applyAlignment="1">
      <alignment vertical="center"/>
    </xf>
    <xf numFmtId="14" fontId="5" fillId="0" borderId="7" xfId="1" applyNumberFormat="1" applyFont="1" applyBorder="1" applyAlignment="1">
      <alignment vertical="center"/>
    </xf>
    <xf numFmtId="14" fontId="5" fillId="0" borderId="0" xfId="3" applyNumberFormat="1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4" fontId="5" fillId="0" borderId="2" xfId="2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177" fontId="5" fillId="0" borderId="2" xfId="1" applyNumberFormat="1" applyFont="1" applyBorder="1" applyAlignment="1">
      <alignment vertical="center"/>
    </xf>
    <xf numFmtId="0" fontId="5" fillId="0" borderId="0" xfId="2" applyFont="1" applyAlignment="1">
      <alignment vertical="center"/>
    </xf>
    <xf numFmtId="0" fontId="5" fillId="0" borderId="2" xfId="2" applyFont="1" applyBorder="1" applyAlignment="1">
      <alignment vertical="center"/>
    </xf>
    <xf numFmtId="0" fontId="7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177" fontId="9" fillId="0" borderId="0" xfId="1" applyNumberFormat="1" applyFont="1">
      <alignment vertical="center"/>
    </xf>
    <xf numFmtId="14" fontId="9" fillId="0" borderId="0" xfId="3" applyNumberFormat="1" applyFont="1" applyAlignment="1">
      <alignment horizontal="right" vertical="center"/>
    </xf>
    <xf numFmtId="0" fontId="5" fillId="0" borderId="2" xfId="2" applyFont="1" applyBorder="1" applyAlignment="1">
      <alignment horizontal="right" vertical="center"/>
    </xf>
    <xf numFmtId="0" fontId="5" fillId="0" borderId="1" xfId="2" applyFont="1" applyBorder="1" applyAlignment="1">
      <alignment horizontal="right" vertical="center"/>
    </xf>
    <xf numFmtId="14" fontId="5" fillId="0" borderId="11" xfId="2" applyNumberFormat="1" applyFont="1" applyBorder="1" applyAlignment="1">
      <alignment vertical="center"/>
    </xf>
    <xf numFmtId="177" fontId="5" fillId="0" borderId="11" xfId="1" applyNumberFormat="1" applyFont="1" applyBorder="1" applyAlignment="1">
      <alignment vertical="center"/>
    </xf>
    <xf numFmtId="0" fontId="5" fillId="0" borderId="8" xfId="2" applyFont="1" applyBorder="1" applyAlignment="1">
      <alignment vertical="center" wrapText="1"/>
    </xf>
    <xf numFmtId="14" fontId="5" fillId="0" borderId="9" xfId="1" applyNumberFormat="1" applyFont="1" applyBorder="1" applyAlignment="1">
      <alignment vertical="center"/>
    </xf>
  </cellXfs>
  <cellStyles count="5">
    <cellStyle name="一般" xfId="0" builtinId="0"/>
    <cellStyle name="一般 2" xfId="2" xr:uid="{45972C93-DA3A-459A-9909-36D2E33F2ED5}"/>
    <cellStyle name="千分位" xfId="1" builtinId="3"/>
    <cellStyle name="千分位 2" xfId="3" xr:uid="{B85D95EA-B647-4EA8-8048-C2291C80D768}"/>
    <cellStyle name="超連結" xfId="4" builtinId="8"/>
  </cellStyles>
  <dxfs count="19"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9" formatCode="yyyy/m/d"/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77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0" formatCode="General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284CB-1333-4554-8E8E-6C41A8E80494}" name="表格3" displayName="表格3" ref="A5:N25" totalsRowShown="0" headerRowDxfId="0" dataDxfId="18" headerRowBorderDxfId="16" tableBorderDxfId="17" totalsRowBorderDxfId="15">
  <autoFilter ref="A5:N25" xr:uid="{CA8F9DC1-7E20-4C55-A50E-1C03418A1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EDD823D-7F17-413F-81E9-9E3201AD3915}" name="項次" dataDxfId="14">
      <calculatedColumnFormula>ROW()-5</calculatedColumnFormula>
    </tableColumn>
    <tableColumn id="2" xr3:uid="{F382CAE7-E734-47D1-B1DE-57E6751D146C}" name="事件編號" dataDxfId="13">
      <calculatedColumnFormula>IF(Cases!C2&lt;&gt;"",Cases!C2,"")</calculatedColumnFormula>
    </tableColumn>
    <tableColumn id="3" xr3:uid="{205BD4A6-8CF0-4AD2-9B38-8B5E2EA24CAF}" name="任務名稱" dataDxfId="12">
      <calculatedColumnFormula>IF(Cases!D2&lt;&gt;"",Cases!D2,"")</calculatedColumnFormula>
    </tableColumn>
    <tableColumn id="4" xr3:uid="{270BF4FC-762F-4A7A-A257-12C1D55AE916}" name="工作項目簡述" dataDxfId="11">
      <calculatedColumnFormula>IF(Cases!E2&lt;&gt;"",Cases!E2,"")</calculatedColumnFormula>
    </tableColumn>
    <tableColumn id="5" xr3:uid="{DD21592D-CB88-4967-B2A9-B6A1976A82C6}" name="委派日期" dataDxfId="10">
      <calculatedColumnFormula>IF(Cases!F2&lt;&gt;"",Cases!F2,"")</calculatedColumnFormula>
    </tableColumn>
    <tableColumn id="6" xr3:uid="{ACC889DB-8929-4E51-BBCF-121CF49253F8}" name="預計完成日" dataDxfId="9">
      <calculatedColumnFormula>IF(Cases!G2&lt;&gt;"",Cases!G2,"")</calculatedColumnFormula>
    </tableColumn>
    <tableColumn id="12" xr3:uid="{003E91DD-0CCD-46DE-A2BE-04060961D48A}" name="預計使用時數" dataDxfId="8" dataCellStyle="千分位">
      <calculatedColumnFormula>IF(Cases!H2&lt;&gt;"",Cases!H2,"")</calculatedColumnFormula>
    </tableColumn>
    <tableColumn id="7" xr3:uid="{3C7CF3C0-9E29-4FC6-AACD-59609EEC29A2}" name="實際完成日" dataDxfId="7" dataCellStyle="千分位">
      <calculatedColumnFormula>IF(Cases!I2&lt;&gt;"",Cases!I2,"")</calculatedColumnFormula>
    </tableColumn>
    <tableColumn id="8" xr3:uid="{81F17CAF-88D5-4B46-A6F8-42DD161F6B84}" name="實際使用時數" dataDxfId="6" dataCellStyle="千分位">
      <calculatedColumnFormula>IF(Cases!J2&lt;&gt;"",Cases!J2,"")</calculatedColumnFormula>
    </tableColumn>
    <tableColumn id="13" xr3:uid="{F25FEC0D-FE38-41ED-9802-BEA0D337D2A5}" name="時數費用" dataDxfId="5" dataCellStyle="千分位">
      <calculatedColumnFormula>IF(Cases!K2&lt;&gt;"",Cases!K2,"")</calculatedColumnFormula>
    </tableColumn>
    <tableColumn id="9" xr3:uid="{E353F0A5-7A62-4DA9-AA8D-102647D0087B}" name="事件費用" dataDxfId="4" dataCellStyle="千分位">
      <calculatedColumnFormula>IF(Cases!L2&lt;&gt;"",Cases!L2,"")</calculatedColumnFormula>
    </tableColumn>
    <tableColumn id="14" xr3:uid="{0F46D7BA-0DD6-4B1B-B9A6-95BA5E4E7E58}" name="費用小計" dataDxfId="3" dataCellStyle="千分位">
      <calculatedColumnFormula>IFERROR(J6+K6,"")</calculatedColumnFormula>
    </tableColumn>
    <tableColumn id="10" xr3:uid="{2356B869-524B-40E5-B554-A2DB55066B73}" name="額度結餘" dataDxfId="2" dataCellStyle="千分位">
      <calculatedColumnFormula>IF(Cases!M2&lt;&gt;"",Cases!M2,"")</calculatedColumnFormula>
    </tableColumn>
    <tableColumn id="11" xr3:uid="{04A8B7B4-1F9B-48C1-A87A-6029D555F3CE}" name="備註" dataDxfId="1">
      <calculatedColumnFormula>IF(Cases!O2&lt;&gt;"",Cases!O2,"")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S11" sqref="A2:S11"/>
    </sheetView>
  </sheetViews>
  <sheetFormatPr defaultRowHeight="15" x14ac:dyDescent="0.3"/>
  <cols>
    <col min="1" max="1" width="11.375" bestFit="1" customWidth="1"/>
    <col min="2" max="2" width="21.625" bestFit="1" customWidth="1"/>
    <col min="3" max="3" width="11.25" bestFit="1" customWidth="1"/>
    <col min="4" max="4" width="27.375" bestFit="1" customWidth="1"/>
    <col min="5" max="5" width="10.125" bestFit="1" customWidth="1"/>
    <col min="6" max="6" width="15.625" customWidth="1"/>
    <col min="7" max="7" width="18.625" customWidth="1"/>
    <col min="8" max="8" width="14.375" customWidth="1"/>
    <col min="9" max="9" width="14.875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9" t="s">
        <v>15</v>
      </c>
      <c r="H1" s="19" t="s">
        <v>17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s="23"/>
      <c r="F2" s="29"/>
      <c r="G2" s="29"/>
      <c r="I2" s="2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CE13-74E0-42D5-9154-2599EDB2C8ED}">
  <dimension ref="A1:AK29"/>
  <sheetViews>
    <sheetView tabSelected="1" view="pageBreakPreview" zoomScale="85" zoomScaleNormal="100" zoomScaleSheetLayoutView="85" workbookViewId="0">
      <selection activeCell="C1" sqref="C1:C1048576"/>
    </sheetView>
  </sheetViews>
  <sheetFormatPr defaultRowHeight="19.8" x14ac:dyDescent="0.3"/>
  <cols>
    <col min="1" max="1" width="6.5" style="34" customWidth="1"/>
    <col min="2" max="2" width="23.625" style="2" customWidth="1"/>
    <col min="3" max="3" width="43.625" style="2" customWidth="1"/>
    <col min="4" max="4" width="56" style="4" customWidth="1"/>
    <col min="5" max="6" width="15.25" style="18" customWidth="1"/>
    <col min="7" max="7" width="15.25" style="27" customWidth="1"/>
    <col min="8" max="8" width="15.25" style="33" customWidth="1"/>
    <col min="9" max="9" width="15.25" style="27" customWidth="1"/>
    <col min="10" max="12" width="16.25" style="27" customWidth="1"/>
    <col min="13" max="13" width="23" style="27" customWidth="1"/>
    <col min="14" max="14" width="40.375" style="2" customWidth="1"/>
    <col min="15" max="16384" width="9" style="2"/>
  </cols>
  <sheetData>
    <row r="1" spans="1:37" x14ac:dyDescent="0.3">
      <c r="B1" s="3"/>
      <c r="C1" s="4"/>
      <c r="E1" s="5"/>
      <c r="F1" s="5"/>
      <c r="G1" s="24"/>
      <c r="H1" s="30"/>
      <c r="I1" s="24"/>
      <c r="J1" s="24"/>
      <c r="K1" s="24"/>
      <c r="L1" s="24"/>
      <c r="M1" s="24"/>
      <c r="N1" s="4"/>
    </row>
    <row r="2" spans="1:37" ht="49.8" customHeight="1" x14ac:dyDescent="0.3">
      <c r="A2" s="43" t="s">
        <v>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37" s="40" customFormat="1" ht="31.2" customHeight="1" x14ac:dyDescent="0.3">
      <c r="A3" s="47"/>
      <c r="B3" s="46" t="s">
        <v>34</v>
      </c>
      <c r="C3" s="7"/>
      <c r="D3" s="7"/>
      <c r="E3" s="8"/>
      <c r="F3" s="37"/>
      <c r="G3" s="38"/>
      <c r="H3" s="37" t="s">
        <v>30</v>
      </c>
      <c r="I3" s="39"/>
      <c r="J3" s="39"/>
      <c r="K3" s="25"/>
      <c r="L3" s="25"/>
      <c r="M3" s="25"/>
      <c r="N3" s="9"/>
    </row>
    <row r="4" spans="1:37" s="40" customFormat="1" ht="31.2" customHeight="1" x14ac:dyDescent="0.3">
      <c r="A4" s="47"/>
      <c r="B4" s="46" t="s">
        <v>35</v>
      </c>
      <c r="C4" s="41" t="str">
        <f>LEFT(Cases!A2,3)</f>
        <v/>
      </c>
      <c r="D4" s="7"/>
      <c r="E4" s="37"/>
      <c r="F4" s="37"/>
      <c r="G4" s="38"/>
      <c r="H4" s="48" t="s">
        <v>31</v>
      </c>
      <c r="I4" s="49"/>
      <c r="J4" s="49"/>
      <c r="K4" s="49"/>
      <c r="L4" s="49"/>
      <c r="M4" s="49"/>
      <c r="N4" s="5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10"/>
      <c r="AA4" s="4"/>
      <c r="AB4" s="10"/>
      <c r="AC4" s="4"/>
      <c r="AD4" s="4"/>
      <c r="AE4" s="4"/>
      <c r="AF4" s="4"/>
      <c r="AG4" s="4"/>
      <c r="AH4" s="4"/>
      <c r="AI4" s="4"/>
      <c r="AJ4" s="4"/>
      <c r="AK4" s="4"/>
    </row>
    <row r="5" spans="1:37" s="3" customFormat="1" ht="36.6" customHeight="1" x14ac:dyDescent="0.3">
      <c r="A5" s="20" t="s">
        <v>13</v>
      </c>
      <c r="B5" s="21" t="s">
        <v>14</v>
      </c>
      <c r="C5" s="21" t="s">
        <v>18</v>
      </c>
      <c r="D5" s="21" t="s">
        <v>19</v>
      </c>
      <c r="E5" s="21" t="s">
        <v>20</v>
      </c>
      <c r="F5" s="42" t="s">
        <v>21</v>
      </c>
      <c r="G5" s="21" t="s">
        <v>22</v>
      </c>
      <c r="H5" s="42" t="s">
        <v>23</v>
      </c>
      <c r="I5" s="21" t="s">
        <v>24</v>
      </c>
      <c r="J5" s="21" t="s">
        <v>25</v>
      </c>
      <c r="K5" s="21" t="s">
        <v>26</v>
      </c>
      <c r="L5" s="21" t="s">
        <v>27</v>
      </c>
      <c r="M5" s="21" t="s">
        <v>28</v>
      </c>
      <c r="N5" s="22" t="s">
        <v>29</v>
      </c>
    </row>
    <row r="6" spans="1:37" ht="42.6" customHeight="1" x14ac:dyDescent="0.3">
      <c r="A6" s="35">
        <f t="shared" ref="A6:A21" si="0">ROW()-5</f>
        <v>1</v>
      </c>
      <c r="B6" s="11" t="str">
        <f>IF(Cases!C2&lt;&gt;"",Cases!C2,"")</f>
        <v/>
      </c>
      <c r="C6" s="11" t="str">
        <f>IF(Cases!D2&lt;&gt;"",Cases!D2,"")</f>
        <v/>
      </c>
      <c r="D6" s="11" t="str">
        <f>IF(Cases!E2&lt;&gt;"",Cases!E2,"")</f>
        <v/>
      </c>
      <c r="E6" s="12" t="str">
        <f>IF(Cases!F2&lt;&gt;"",Cases!F2,"")</f>
        <v/>
      </c>
      <c r="F6" s="12" t="str">
        <f>IF(Cases!G2&lt;&gt;"",Cases!G2,"")</f>
        <v/>
      </c>
      <c r="G6" s="26" t="str">
        <f>IF(Cases!H2&lt;&gt;"",Cases!H2,"")</f>
        <v/>
      </c>
      <c r="H6" s="12" t="str">
        <f>IF(Cases!I2&lt;&gt;"",Cases!I2,"")</f>
        <v/>
      </c>
      <c r="I6" s="26" t="str">
        <f>IF(Cases!J2&lt;&gt;"",Cases!J2,"")</f>
        <v/>
      </c>
      <c r="J6" s="26" t="str">
        <f>IF(Cases!K2&lt;&gt;"",Cases!K2,"")</f>
        <v/>
      </c>
      <c r="K6" s="26" t="str">
        <f>IF(Cases!L2&lt;&gt;"",Cases!L2,"")</f>
        <v/>
      </c>
      <c r="L6" s="26" t="str">
        <f t="shared" ref="L6:L25" si="1">IFERROR(J6+K6,"")</f>
        <v/>
      </c>
      <c r="M6" s="26" t="str">
        <f>IF(Cases!M2&lt;&gt;"",Cases!M2,"")</f>
        <v/>
      </c>
      <c r="N6" s="6" t="str">
        <f>IF(Cases!O2&lt;&gt;"",Cases!O2,"")</f>
        <v/>
      </c>
    </row>
    <row r="7" spans="1:37" ht="42.6" customHeight="1" x14ac:dyDescent="0.3">
      <c r="A7" s="35">
        <f t="shared" si="0"/>
        <v>2</v>
      </c>
      <c r="B7" s="11" t="str">
        <f>IF(Cases!C3&lt;&gt;"",Cases!C3,"")</f>
        <v/>
      </c>
      <c r="C7" s="11" t="str">
        <f>IF(Cases!D3&lt;&gt;"",Cases!D3,"")</f>
        <v/>
      </c>
      <c r="D7" s="13" t="str">
        <f>IF(Cases!E3&lt;&gt;"",Cases!E3,"")</f>
        <v/>
      </c>
      <c r="E7" s="12" t="str">
        <f>IF(Cases!F3&lt;&gt;"",Cases!F3,"")</f>
        <v/>
      </c>
      <c r="F7" s="12" t="str">
        <f>IF(Cases!G3&lt;&gt;"",Cases!G3,"")</f>
        <v/>
      </c>
      <c r="G7" s="26" t="str">
        <f>IF(Cases!H3&lt;&gt;"",Cases!H3,"")</f>
        <v/>
      </c>
      <c r="H7" s="31" t="str">
        <f>IF(Cases!I3&lt;&gt;"",Cases!I3,"")</f>
        <v/>
      </c>
      <c r="I7" s="26" t="str">
        <f>IF(Cases!J3&lt;&gt;"",Cases!J3,"")</f>
        <v/>
      </c>
      <c r="J7" s="26" t="str">
        <f>IF(Cases!K3&lt;&gt;"",Cases!K3,"")</f>
        <v/>
      </c>
      <c r="K7" s="26" t="str">
        <f>IF(Cases!L3&lt;&gt;"",Cases!L3,"")</f>
        <v/>
      </c>
      <c r="L7" s="26" t="str">
        <f t="shared" si="1"/>
        <v/>
      </c>
      <c r="M7" s="26" t="str">
        <f>IF(Cases!M3&lt;&gt;"",Cases!M3,"")</f>
        <v/>
      </c>
      <c r="N7" s="6" t="str">
        <f>IF(Cases!O3&lt;&gt;"",Cases!O3,"")</f>
        <v/>
      </c>
    </row>
    <row r="8" spans="1:37" ht="42.6" customHeight="1" x14ac:dyDescent="0.3">
      <c r="A8" s="35">
        <f t="shared" si="0"/>
        <v>3</v>
      </c>
      <c r="B8" s="11" t="str">
        <f>IF(Cases!C4&lt;&gt;"",Cases!C4,"")</f>
        <v/>
      </c>
      <c r="C8" s="11" t="str">
        <f>IF(Cases!D4&lt;&gt;"",Cases!D4,"")</f>
        <v/>
      </c>
      <c r="D8" s="13" t="str">
        <f>IF(Cases!E4&lt;&gt;"",Cases!E4,"")</f>
        <v/>
      </c>
      <c r="E8" s="12" t="str">
        <f>IF(Cases!F4&lt;&gt;"",Cases!F4,"")</f>
        <v/>
      </c>
      <c r="F8" s="12" t="str">
        <f>IF(Cases!G4&lt;&gt;"",Cases!G4,"")</f>
        <v/>
      </c>
      <c r="G8" s="26" t="str">
        <f>IF(Cases!H4&lt;&gt;"",Cases!H4,"")</f>
        <v/>
      </c>
      <c r="H8" s="31" t="str">
        <f>IF(Cases!I4&lt;&gt;"",Cases!I4,"")</f>
        <v/>
      </c>
      <c r="I8" s="26" t="str">
        <f>IF(Cases!J4&lt;&gt;"",Cases!J4,"")</f>
        <v/>
      </c>
      <c r="J8" s="26" t="str">
        <f>IF(Cases!K4&lt;&gt;"",Cases!K4,"")</f>
        <v/>
      </c>
      <c r="K8" s="26" t="str">
        <f>IF(Cases!L4&lt;&gt;"",Cases!L4,"")</f>
        <v/>
      </c>
      <c r="L8" s="26" t="str">
        <f t="shared" si="1"/>
        <v/>
      </c>
      <c r="M8" s="26" t="str">
        <f>IF(Cases!M4&lt;&gt;"",Cases!M4,"")</f>
        <v/>
      </c>
      <c r="N8" s="6" t="str">
        <f>IF(Cases!O4&lt;&gt;"",Cases!O4,"")</f>
        <v/>
      </c>
    </row>
    <row r="9" spans="1:37" ht="42.6" customHeight="1" x14ac:dyDescent="0.3">
      <c r="A9" s="35">
        <f t="shared" si="0"/>
        <v>4</v>
      </c>
      <c r="B9" s="11" t="str">
        <f>IF(Cases!C5&lt;&gt;"",Cases!C5,"")</f>
        <v/>
      </c>
      <c r="C9" s="11" t="str">
        <f>IF(Cases!D5&lt;&gt;"",Cases!D5,"")</f>
        <v/>
      </c>
      <c r="D9" s="13" t="str">
        <f>IF(Cases!E5&lt;&gt;"",Cases!E5,"")</f>
        <v/>
      </c>
      <c r="E9" s="12" t="str">
        <f>IF(Cases!F5&lt;&gt;"",Cases!F5,"")</f>
        <v/>
      </c>
      <c r="F9" s="12" t="str">
        <f>IF(Cases!G5&lt;&gt;"",Cases!G5,"")</f>
        <v/>
      </c>
      <c r="G9" s="26" t="str">
        <f>IF(Cases!H5&lt;&gt;"",Cases!H5,"")</f>
        <v/>
      </c>
      <c r="H9" s="31" t="str">
        <f>IF(Cases!I5&lt;&gt;"",Cases!I5,"")</f>
        <v/>
      </c>
      <c r="I9" s="26" t="str">
        <f>IF(Cases!J5&lt;&gt;"",Cases!J5,"")</f>
        <v/>
      </c>
      <c r="J9" s="26" t="str">
        <f>IF(Cases!K5&lt;&gt;"",Cases!K5,"")</f>
        <v/>
      </c>
      <c r="K9" s="26" t="str">
        <f>IF(Cases!L5&lt;&gt;"",Cases!L5,"")</f>
        <v/>
      </c>
      <c r="L9" s="26" t="str">
        <f t="shared" si="1"/>
        <v/>
      </c>
      <c r="M9" s="26" t="str">
        <f>IF(Cases!M5&lt;&gt;"",Cases!M5,"")</f>
        <v/>
      </c>
      <c r="N9" s="6" t="str">
        <f>IF(Cases!O5&lt;&gt;"",Cases!O5,"")</f>
        <v/>
      </c>
    </row>
    <row r="10" spans="1:37" ht="42.6" customHeight="1" x14ac:dyDescent="0.3">
      <c r="A10" s="35">
        <f t="shared" si="0"/>
        <v>5</v>
      </c>
      <c r="B10" s="11" t="str">
        <f>IF(Cases!C6&lt;&gt;"",Cases!C6,"")</f>
        <v/>
      </c>
      <c r="C10" s="11" t="str">
        <f>IF(Cases!D6&lt;&gt;"",Cases!D6,"")</f>
        <v/>
      </c>
      <c r="D10" s="13" t="str">
        <f>IF(Cases!E6&lt;&gt;"",Cases!E6,"")</f>
        <v/>
      </c>
      <c r="E10" s="12" t="str">
        <f>IF(Cases!F6&lt;&gt;"",Cases!F6,"")</f>
        <v/>
      </c>
      <c r="F10" s="12" t="str">
        <f>IF(Cases!G6&lt;&gt;"",Cases!G6,"")</f>
        <v/>
      </c>
      <c r="G10" s="26" t="str">
        <f>IF(Cases!H6&lt;&gt;"",Cases!H6,"")</f>
        <v/>
      </c>
      <c r="H10" s="31" t="str">
        <f>IF(Cases!I6&lt;&gt;"",Cases!I6,"")</f>
        <v/>
      </c>
      <c r="I10" s="26" t="str">
        <f>IF(Cases!J6&lt;&gt;"",Cases!J6,"")</f>
        <v/>
      </c>
      <c r="J10" s="26" t="str">
        <f>IF(Cases!K6&lt;&gt;"",Cases!K6,"")</f>
        <v/>
      </c>
      <c r="K10" s="26" t="str">
        <f>IF(Cases!L6&lt;&gt;"",Cases!L6,"")</f>
        <v/>
      </c>
      <c r="L10" s="26" t="str">
        <f t="shared" si="1"/>
        <v/>
      </c>
      <c r="M10" s="26" t="str">
        <f>IF(Cases!M6&lt;&gt;"",Cases!M6,"")</f>
        <v/>
      </c>
      <c r="N10" s="6" t="str">
        <f>IF(Cases!O6&lt;&gt;"",Cases!O6,"")</f>
        <v/>
      </c>
    </row>
    <row r="11" spans="1:37" ht="42.6" customHeight="1" x14ac:dyDescent="0.3">
      <c r="A11" s="35">
        <f t="shared" si="0"/>
        <v>6</v>
      </c>
      <c r="B11" s="11" t="str">
        <f>IF(Cases!C7&lt;&gt;"",Cases!C7,"")</f>
        <v/>
      </c>
      <c r="C11" s="11" t="str">
        <f>IF(Cases!D7&lt;&gt;"",Cases!D7,"")</f>
        <v/>
      </c>
      <c r="D11" s="13" t="str">
        <f>IF(Cases!E7&lt;&gt;"",Cases!E7,"")</f>
        <v/>
      </c>
      <c r="E11" s="12" t="str">
        <f>IF(Cases!F7&lt;&gt;"",Cases!F7,"")</f>
        <v/>
      </c>
      <c r="F11" s="12" t="str">
        <f>IF(Cases!G7&lt;&gt;"",Cases!G7,"")</f>
        <v/>
      </c>
      <c r="G11" s="26" t="str">
        <f>IF(Cases!H7&lt;&gt;"",Cases!H7,"")</f>
        <v/>
      </c>
      <c r="H11" s="31" t="str">
        <f>IF(Cases!I7&lt;&gt;"",Cases!I7,"")</f>
        <v/>
      </c>
      <c r="I11" s="26" t="str">
        <f>IF(Cases!J7&lt;&gt;"",Cases!J7,"")</f>
        <v/>
      </c>
      <c r="J11" s="26" t="str">
        <f>IF(Cases!K7&lt;&gt;"",Cases!K7,"")</f>
        <v/>
      </c>
      <c r="K11" s="26" t="str">
        <f>IF(Cases!L7&lt;&gt;"",Cases!L7,"")</f>
        <v/>
      </c>
      <c r="L11" s="26" t="str">
        <f t="shared" si="1"/>
        <v/>
      </c>
      <c r="M11" s="26" t="str">
        <f>IF(Cases!M7&lt;&gt;"",Cases!M7,"")</f>
        <v/>
      </c>
      <c r="N11" s="6" t="str">
        <f>IF(Cases!O7&lt;&gt;"",Cases!O7,"")</f>
        <v/>
      </c>
    </row>
    <row r="12" spans="1:37" ht="42.6" customHeight="1" x14ac:dyDescent="0.3">
      <c r="A12" s="35">
        <f t="shared" si="0"/>
        <v>7</v>
      </c>
      <c r="B12" s="11" t="str">
        <f>IF(Cases!C8&lt;&gt;"",Cases!C8,"")</f>
        <v/>
      </c>
      <c r="C12" s="11" t="str">
        <f>IF(Cases!D8&lt;&gt;"",Cases!D8,"")</f>
        <v/>
      </c>
      <c r="D12" s="13" t="str">
        <f>IF(Cases!E8&lt;&gt;"",Cases!E8,"")</f>
        <v/>
      </c>
      <c r="E12" s="12" t="str">
        <f>IF(Cases!F8&lt;&gt;"",Cases!F8,"")</f>
        <v/>
      </c>
      <c r="F12" s="12" t="str">
        <f>IF(Cases!G8&lt;&gt;"",Cases!G8,"")</f>
        <v/>
      </c>
      <c r="G12" s="26" t="str">
        <f>IF(Cases!H8&lt;&gt;"",Cases!H8,"")</f>
        <v/>
      </c>
      <c r="H12" s="31" t="str">
        <f>IF(Cases!I8&lt;&gt;"",Cases!I8,"")</f>
        <v/>
      </c>
      <c r="I12" s="26" t="str">
        <f>IF(Cases!J8&lt;&gt;"",Cases!J8,"")</f>
        <v/>
      </c>
      <c r="J12" s="26" t="str">
        <f>IF(Cases!K8&lt;&gt;"",Cases!K8,"")</f>
        <v/>
      </c>
      <c r="K12" s="26" t="str">
        <f>IF(Cases!L8&lt;&gt;"",Cases!L8,"")</f>
        <v/>
      </c>
      <c r="L12" s="26" t="str">
        <f t="shared" si="1"/>
        <v/>
      </c>
      <c r="M12" s="26" t="str">
        <f>IF(Cases!M8&lt;&gt;"",Cases!M8,"")</f>
        <v/>
      </c>
      <c r="N12" s="6" t="str">
        <f>IF(Cases!O8&lt;&gt;"",Cases!O8,"")</f>
        <v/>
      </c>
    </row>
    <row r="13" spans="1:37" ht="42.6" customHeight="1" x14ac:dyDescent="0.3">
      <c r="A13" s="35">
        <f t="shared" si="0"/>
        <v>8</v>
      </c>
      <c r="B13" s="11" t="str">
        <f>IF(Cases!C9&lt;&gt;"",Cases!C9,"")</f>
        <v/>
      </c>
      <c r="C13" s="11" t="str">
        <f>IF(Cases!D9&lt;&gt;"",Cases!D9,"")</f>
        <v/>
      </c>
      <c r="D13" s="13" t="str">
        <f>IF(Cases!E9&lt;&gt;"",Cases!E9,"")</f>
        <v/>
      </c>
      <c r="E13" s="12" t="str">
        <f>IF(Cases!F9&lt;&gt;"",Cases!F9,"")</f>
        <v/>
      </c>
      <c r="F13" s="12" t="str">
        <f>IF(Cases!G9&lt;&gt;"",Cases!G9,"")</f>
        <v/>
      </c>
      <c r="G13" s="26" t="str">
        <f>IF(Cases!H9&lt;&gt;"",Cases!H9,"")</f>
        <v/>
      </c>
      <c r="H13" s="31" t="str">
        <f>IF(Cases!I9&lt;&gt;"",Cases!I9,"")</f>
        <v/>
      </c>
      <c r="I13" s="26" t="str">
        <f>IF(Cases!J9&lt;&gt;"",Cases!J9,"")</f>
        <v/>
      </c>
      <c r="J13" s="26" t="str">
        <f>IF(Cases!K9&lt;&gt;"",Cases!K9,"")</f>
        <v/>
      </c>
      <c r="K13" s="26" t="str">
        <f>IF(Cases!L9&lt;&gt;"",Cases!L9,"")</f>
        <v/>
      </c>
      <c r="L13" s="26" t="str">
        <f t="shared" si="1"/>
        <v/>
      </c>
      <c r="M13" s="26" t="str">
        <f>IF(Cases!M9&lt;&gt;"",Cases!M9,"")</f>
        <v/>
      </c>
      <c r="N13" s="6" t="str">
        <f>IF(Cases!O9&lt;&gt;"",Cases!O9,"")</f>
        <v/>
      </c>
    </row>
    <row r="14" spans="1:37" ht="42.6" customHeight="1" x14ac:dyDescent="0.3">
      <c r="A14" s="35">
        <f t="shared" si="0"/>
        <v>9</v>
      </c>
      <c r="B14" s="11" t="str">
        <f>IF(Cases!C10&lt;&gt;"",Cases!C10,"")</f>
        <v/>
      </c>
      <c r="C14" s="11" t="str">
        <f>IF(Cases!D10&lt;&gt;"",Cases!D10,"")</f>
        <v/>
      </c>
      <c r="D14" s="13" t="str">
        <f>IF(Cases!E10&lt;&gt;"",Cases!E10,"")</f>
        <v/>
      </c>
      <c r="E14" s="12" t="str">
        <f>IF(Cases!F10&lt;&gt;"",Cases!F10,"")</f>
        <v/>
      </c>
      <c r="F14" s="12" t="str">
        <f>IF(Cases!G10&lt;&gt;"",Cases!G10,"")</f>
        <v/>
      </c>
      <c r="G14" s="26" t="str">
        <f>IF(Cases!H10&lt;&gt;"",Cases!H10,"")</f>
        <v/>
      </c>
      <c r="H14" s="31" t="str">
        <f>IF(Cases!I10&lt;&gt;"",Cases!I10,"")</f>
        <v/>
      </c>
      <c r="I14" s="26" t="str">
        <f>IF(Cases!J10&lt;&gt;"",Cases!J10,"")</f>
        <v/>
      </c>
      <c r="J14" s="26" t="str">
        <f>IF(Cases!K10&lt;&gt;"",Cases!K10,"")</f>
        <v/>
      </c>
      <c r="K14" s="26" t="str">
        <f>IF(Cases!L10&lt;&gt;"",Cases!L10,"")</f>
        <v/>
      </c>
      <c r="L14" s="26" t="str">
        <f t="shared" si="1"/>
        <v/>
      </c>
      <c r="M14" s="26" t="str">
        <f>IF(Cases!M10&lt;&gt;"",Cases!M10,"")</f>
        <v/>
      </c>
      <c r="N14" s="6" t="str">
        <f>IF(Cases!O10&lt;&gt;"",Cases!O10,"")</f>
        <v/>
      </c>
    </row>
    <row r="15" spans="1:37" ht="42.6" customHeight="1" x14ac:dyDescent="0.3">
      <c r="A15" s="35">
        <f t="shared" si="0"/>
        <v>10</v>
      </c>
      <c r="B15" s="11" t="str">
        <f>IF(Cases!C11&lt;&gt;"",Cases!C11,"")</f>
        <v/>
      </c>
      <c r="C15" s="11" t="str">
        <f>IF(Cases!D11&lt;&gt;"",Cases!D11,"")</f>
        <v/>
      </c>
      <c r="D15" s="13" t="str">
        <f>IF(Cases!E11&lt;&gt;"",Cases!E11,"")</f>
        <v/>
      </c>
      <c r="E15" s="12" t="str">
        <f>IF(Cases!F11&lt;&gt;"",Cases!F11,"")</f>
        <v/>
      </c>
      <c r="F15" s="12" t="str">
        <f>IF(Cases!G11&lt;&gt;"",Cases!G11,"")</f>
        <v/>
      </c>
      <c r="G15" s="26" t="str">
        <f>IF(Cases!H11&lt;&gt;"",Cases!H11,"")</f>
        <v/>
      </c>
      <c r="H15" s="31" t="str">
        <f>IF(Cases!I11&lt;&gt;"",Cases!I11,"")</f>
        <v/>
      </c>
      <c r="I15" s="26" t="str">
        <f>IF(Cases!J11&lt;&gt;"",Cases!J11,"")</f>
        <v/>
      </c>
      <c r="J15" s="26" t="str">
        <f>IF(Cases!K11&lt;&gt;"",Cases!K11,"")</f>
        <v/>
      </c>
      <c r="K15" s="26" t="str">
        <f>IF(Cases!L11&lt;&gt;"",Cases!L11,"")</f>
        <v/>
      </c>
      <c r="L15" s="26" t="str">
        <f t="shared" si="1"/>
        <v/>
      </c>
      <c r="M15" s="26" t="str">
        <f>IF(Cases!M11&lt;&gt;"",Cases!M11,"")</f>
        <v/>
      </c>
      <c r="N15" s="6" t="str">
        <f>IF(Cases!O11&lt;&gt;"",Cases!O11,"")</f>
        <v/>
      </c>
    </row>
    <row r="16" spans="1:37" ht="42.6" customHeight="1" x14ac:dyDescent="0.3">
      <c r="A16" s="35">
        <f t="shared" si="0"/>
        <v>11</v>
      </c>
      <c r="B16" s="11" t="str">
        <f>IF(Cases!C12&lt;&gt;"",Cases!C12,"")</f>
        <v/>
      </c>
      <c r="C16" s="11" t="str">
        <f>IF(Cases!D12&lt;&gt;"",Cases!D12,"")</f>
        <v/>
      </c>
      <c r="D16" s="13" t="str">
        <f>IF(Cases!E12&lt;&gt;"",Cases!E12,"")</f>
        <v/>
      </c>
      <c r="E16" s="12" t="str">
        <f>IF(Cases!F12&lt;&gt;"",Cases!F12,"")</f>
        <v/>
      </c>
      <c r="F16" s="12" t="str">
        <f>IF(Cases!G12&lt;&gt;"",Cases!G12,"")</f>
        <v/>
      </c>
      <c r="G16" s="26" t="str">
        <f>IF(Cases!H12&lt;&gt;"",Cases!H12,"")</f>
        <v/>
      </c>
      <c r="H16" s="31" t="str">
        <f>IF(Cases!I12&lt;&gt;"",Cases!I12,"")</f>
        <v/>
      </c>
      <c r="I16" s="26" t="str">
        <f>IF(Cases!J12&lt;&gt;"",Cases!J12,"")</f>
        <v/>
      </c>
      <c r="J16" s="26" t="str">
        <f>IF(Cases!K12&lt;&gt;"",Cases!K12,"")</f>
        <v/>
      </c>
      <c r="K16" s="26" t="str">
        <f>IF(Cases!L12&lt;&gt;"",Cases!L12,"")</f>
        <v/>
      </c>
      <c r="L16" s="26" t="str">
        <f t="shared" si="1"/>
        <v/>
      </c>
      <c r="M16" s="26" t="str">
        <f>IF(Cases!M12&lt;&gt;"",Cases!M12,"")</f>
        <v/>
      </c>
      <c r="N16" s="6" t="str">
        <f>IF(Cases!O12&lt;&gt;"",Cases!O12,"")</f>
        <v/>
      </c>
    </row>
    <row r="17" spans="1:14" ht="42.6" customHeight="1" x14ac:dyDescent="0.3">
      <c r="A17" s="35">
        <f t="shared" si="0"/>
        <v>12</v>
      </c>
      <c r="B17" s="11" t="str">
        <f>IF(Cases!C13&lt;&gt;"",Cases!C13,"")</f>
        <v/>
      </c>
      <c r="C17" s="11" t="str">
        <f>IF(Cases!D13&lt;&gt;"",Cases!D13,"")</f>
        <v/>
      </c>
      <c r="D17" s="13" t="str">
        <f>IF(Cases!E13&lt;&gt;"",Cases!E13,"")</f>
        <v/>
      </c>
      <c r="E17" s="12" t="str">
        <f>IF(Cases!F13&lt;&gt;"",Cases!F13,"")</f>
        <v/>
      </c>
      <c r="F17" s="12" t="str">
        <f>IF(Cases!G13&lt;&gt;"",Cases!G13,"")</f>
        <v/>
      </c>
      <c r="G17" s="26" t="str">
        <f>IF(Cases!H13&lt;&gt;"",Cases!H13,"")</f>
        <v/>
      </c>
      <c r="H17" s="31" t="str">
        <f>IF(Cases!I13&lt;&gt;"",Cases!I13,"")</f>
        <v/>
      </c>
      <c r="I17" s="26" t="str">
        <f>IF(Cases!J13&lt;&gt;"",Cases!J13,"")</f>
        <v/>
      </c>
      <c r="J17" s="26" t="str">
        <f>IF(Cases!K13&lt;&gt;"",Cases!K13,"")</f>
        <v/>
      </c>
      <c r="K17" s="26" t="str">
        <f>IF(Cases!L13&lt;&gt;"",Cases!L13,"")</f>
        <v/>
      </c>
      <c r="L17" s="26" t="str">
        <f t="shared" si="1"/>
        <v/>
      </c>
      <c r="M17" s="26" t="str">
        <f>IF(Cases!M13&lt;&gt;"",Cases!M13,"")</f>
        <v/>
      </c>
      <c r="N17" s="6" t="str">
        <f>IF(Cases!O13&lt;&gt;"",Cases!O13,"")</f>
        <v/>
      </c>
    </row>
    <row r="18" spans="1:14" ht="42.6" customHeight="1" x14ac:dyDescent="0.3">
      <c r="A18" s="35">
        <f t="shared" si="0"/>
        <v>13</v>
      </c>
      <c r="B18" s="11" t="str">
        <f>IF(Cases!C14&lt;&gt;"",Cases!C14,"")</f>
        <v/>
      </c>
      <c r="C18" s="11" t="str">
        <f>IF(Cases!D14&lt;&gt;"",Cases!D14,"")</f>
        <v/>
      </c>
      <c r="D18" s="13" t="str">
        <f>IF(Cases!E14&lt;&gt;"",Cases!E14,"")</f>
        <v/>
      </c>
      <c r="E18" s="12" t="str">
        <f>IF(Cases!F14&lt;&gt;"",Cases!F14,"")</f>
        <v/>
      </c>
      <c r="F18" s="12" t="str">
        <f>IF(Cases!G14&lt;&gt;"",Cases!G14,"")</f>
        <v/>
      </c>
      <c r="G18" s="26" t="str">
        <f>IF(Cases!H14&lt;&gt;"",Cases!H14,"")</f>
        <v/>
      </c>
      <c r="H18" s="31" t="str">
        <f>IF(Cases!I14&lt;&gt;"",Cases!I14,"")</f>
        <v/>
      </c>
      <c r="I18" s="26" t="str">
        <f>IF(Cases!J14&lt;&gt;"",Cases!J14,"")</f>
        <v/>
      </c>
      <c r="J18" s="26" t="str">
        <f>IF(Cases!K14&lt;&gt;"",Cases!K14,"")</f>
        <v/>
      </c>
      <c r="K18" s="26" t="str">
        <f>IF(Cases!L14&lt;&gt;"",Cases!L14,"")</f>
        <v/>
      </c>
      <c r="L18" s="26" t="str">
        <f t="shared" si="1"/>
        <v/>
      </c>
      <c r="M18" s="26" t="str">
        <f>IF(Cases!M14&lt;&gt;"",Cases!M14,"")</f>
        <v/>
      </c>
      <c r="N18" s="6" t="str">
        <f>IF(Cases!O14&lt;&gt;"",Cases!O14,"")</f>
        <v/>
      </c>
    </row>
    <row r="19" spans="1:14" ht="42.6" customHeight="1" x14ac:dyDescent="0.3">
      <c r="A19" s="35">
        <f t="shared" si="0"/>
        <v>14</v>
      </c>
      <c r="B19" s="11" t="str">
        <f>IF(Cases!C15&lt;&gt;"",Cases!C15,"")</f>
        <v/>
      </c>
      <c r="C19" s="11" t="str">
        <f>IF(Cases!D15&lt;&gt;"",Cases!D15,"")</f>
        <v/>
      </c>
      <c r="D19" s="13" t="str">
        <f>IF(Cases!E15&lt;&gt;"",Cases!E15,"")</f>
        <v/>
      </c>
      <c r="E19" s="12" t="str">
        <f>IF(Cases!F15&lt;&gt;"",Cases!F15,"")</f>
        <v/>
      </c>
      <c r="F19" s="12" t="str">
        <f>IF(Cases!G15&lt;&gt;"",Cases!G15,"")</f>
        <v/>
      </c>
      <c r="G19" s="26" t="str">
        <f>IF(Cases!H15&lt;&gt;"",Cases!H15,"")</f>
        <v/>
      </c>
      <c r="H19" s="31" t="str">
        <f>IF(Cases!I15&lt;&gt;"",Cases!I15,"")</f>
        <v/>
      </c>
      <c r="I19" s="26" t="str">
        <f>IF(Cases!J15&lt;&gt;"",Cases!J15,"")</f>
        <v/>
      </c>
      <c r="J19" s="26" t="str">
        <f>IF(Cases!K15&lt;&gt;"",Cases!K15,"")</f>
        <v/>
      </c>
      <c r="K19" s="26" t="str">
        <f>IF(Cases!L15&lt;&gt;"",Cases!L15,"")</f>
        <v/>
      </c>
      <c r="L19" s="26" t="str">
        <f t="shared" si="1"/>
        <v/>
      </c>
      <c r="M19" s="26" t="str">
        <f>IF(Cases!M15&lt;&gt;"",Cases!M15,"")</f>
        <v/>
      </c>
      <c r="N19" s="6" t="str">
        <f>IF(Cases!O15&lt;&gt;"",Cases!O15,"")</f>
        <v/>
      </c>
    </row>
    <row r="20" spans="1:14" ht="42.6" customHeight="1" x14ac:dyDescent="0.3">
      <c r="A20" s="35">
        <f t="shared" si="0"/>
        <v>15</v>
      </c>
      <c r="B20" s="11" t="str">
        <f>IF(Cases!C16&lt;&gt;"",Cases!C16,"")</f>
        <v/>
      </c>
      <c r="C20" s="11" t="str">
        <f>IF(Cases!D16&lt;&gt;"",Cases!D16,"")</f>
        <v/>
      </c>
      <c r="D20" s="13" t="str">
        <f>IF(Cases!E16&lt;&gt;"",Cases!E16,"")</f>
        <v/>
      </c>
      <c r="E20" s="12" t="str">
        <f>IF(Cases!F16&lt;&gt;"",Cases!F16,"")</f>
        <v/>
      </c>
      <c r="F20" s="12" t="str">
        <f>IF(Cases!G16&lt;&gt;"",Cases!G16,"")</f>
        <v/>
      </c>
      <c r="G20" s="26" t="str">
        <f>IF(Cases!H16&lt;&gt;"",Cases!H16,"")</f>
        <v/>
      </c>
      <c r="H20" s="31" t="str">
        <f>IF(Cases!I16&lt;&gt;"",Cases!I16,"")</f>
        <v/>
      </c>
      <c r="I20" s="26" t="str">
        <f>IF(Cases!J16&lt;&gt;"",Cases!J16,"")</f>
        <v/>
      </c>
      <c r="J20" s="26" t="str">
        <f>IF(Cases!K16&lt;&gt;"",Cases!K16,"")</f>
        <v/>
      </c>
      <c r="K20" s="26" t="str">
        <f>IF(Cases!L16&lt;&gt;"",Cases!L16,"")</f>
        <v/>
      </c>
      <c r="L20" s="26" t="str">
        <f t="shared" si="1"/>
        <v/>
      </c>
      <c r="M20" s="26" t="str">
        <f>IF(Cases!M16&lt;&gt;"",Cases!M16,"")</f>
        <v/>
      </c>
      <c r="N20" s="6" t="str">
        <f>IF(Cases!O16&lt;&gt;"",Cases!O16,"")</f>
        <v/>
      </c>
    </row>
    <row r="21" spans="1:14" ht="42.6" customHeight="1" x14ac:dyDescent="0.3">
      <c r="A21" s="35">
        <f t="shared" si="0"/>
        <v>16</v>
      </c>
      <c r="B21" s="11" t="str">
        <f>IF(Cases!C17&lt;&gt;"",Cases!C17,"")</f>
        <v/>
      </c>
      <c r="C21" s="11" t="str">
        <f>IF(Cases!D17&lt;&gt;"",Cases!D17,"")</f>
        <v/>
      </c>
      <c r="D21" s="13" t="str">
        <f>IF(Cases!E17&lt;&gt;"",Cases!E17,"")</f>
        <v/>
      </c>
      <c r="E21" s="12" t="str">
        <f>IF(Cases!F17&lt;&gt;"",Cases!F17,"")</f>
        <v/>
      </c>
      <c r="F21" s="12" t="str">
        <f>IF(Cases!G17&lt;&gt;"",Cases!G17,"")</f>
        <v/>
      </c>
      <c r="G21" s="26" t="str">
        <f>IF(Cases!H17&lt;&gt;"",Cases!H17,"")</f>
        <v/>
      </c>
      <c r="H21" s="31" t="str">
        <f>IF(Cases!I17&lt;&gt;"",Cases!I17,"")</f>
        <v/>
      </c>
      <c r="I21" s="26" t="str">
        <f>IF(Cases!J17&lt;&gt;"",Cases!J17,"")</f>
        <v/>
      </c>
      <c r="J21" s="26" t="str">
        <f>IF(Cases!K17&lt;&gt;"",Cases!K17,"")</f>
        <v/>
      </c>
      <c r="K21" s="26" t="str">
        <f>IF(Cases!L17&lt;&gt;"",Cases!L17,"")</f>
        <v/>
      </c>
      <c r="L21" s="26" t="str">
        <f t="shared" si="1"/>
        <v/>
      </c>
      <c r="M21" s="26" t="str">
        <f>IF(Cases!M17&lt;&gt;"",Cases!M17,"")</f>
        <v/>
      </c>
      <c r="N21" s="6" t="str">
        <f>IF(Cases!O17&lt;&gt;"",Cases!O17,"")</f>
        <v/>
      </c>
    </row>
    <row r="22" spans="1:14" ht="42.6" customHeight="1" x14ac:dyDescent="0.3">
      <c r="A22" s="35">
        <f t="shared" ref="A22:A25" si="2">ROW()-5</f>
        <v>17</v>
      </c>
      <c r="B22" s="11" t="str">
        <f>IF(Cases!C18&lt;&gt;"",Cases!C18,"")</f>
        <v/>
      </c>
      <c r="C22" s="11" t="str">
        <f>IF(Cases!D18&lt;&gt;"",Cases!D18,"")</f>
        <v/>
      </c>
      <c r="D22" s="13" t="str">
        <f>IF(Cases!E18&lt;&gt;"",Cases!E18,"")</f>
        <v/>
      </c>
      <c r="E22" s="12" t="str">
        <f>IF(Cases!F18&lt;&gt;"",Cases!F18,"")</f>
        <v/>
      </c>
      <c r="F22" s="12" t="str">
        <f>IF(Cases!G18&lt;&gt;"",Cases!G18,"")</f>
        <v/>
      </c>
      <c r="G22" s="26" t="str">
        <f>IF(Cases!H18&lt;&gt;"",Cases!H18,"")</f>
        <v/>
      </c>
      <c r="H22" s="32" t="str">
        <f>IF(Cases!I18&lt;&gt;"",Cases!I18,"")</f>
        <v/>
      </c>
      <c r="I22" s="26" t="str">
        <f>IF(Cases!J18&lt;&gt;"",Cases!J18,"")</f>
        <v/>
      </c>
      <c r="J22" s="26" t="str">
        <f>IF(Cases!K18&lt;&gt;"",Cases!K18,"")</f>
        <v/>
      </c>
      <c r="K22" s="26" t="str">
        <f>IF(Cases!L18&lt;&gt;"",Cases!L18,"")</f>
        <v/>
      </c>
      <c r="L22" s="26" t="str">
        <f t="shared" si="1"/>
        <v/>
      </c>
      <c r="M22" s="26" t="str">
        <f>IF(Cases!M18&lt;&gt;"",Cases!M18,"")</f>
        <v/>
      </c>
      <c r="N22" s="6" t="str">
        <f>IF(Cases!O18&lt;&gt;"",Cases!O18,"")</f>
        <v/>
      </c>
    </row>
    <row r="23" spans="1:14" ht="42.6" customHeight="1" x14ac:dyDescent="0.3">
      <c r="A23" s="35">
        <f t="shared" si="2"/>
        <v>18</v>
      </c>
      <c r="B23" s="11" t="str">
        <f>IF(Cases!C19&lt;&gt;"",Cases!C19,"")</f>
        <v/>
      </c>
      <c r="C23" s="11" t="str">
        <f>IF(Cases!D19&lt;&gt;"",Cases!D19,"")</f>
        <v/>
      </c>
      <c r="D23" s="13" t="str">
        <f>IF(Cases!E19&lt;&gt;"",Cases!E19,"")</f>
        <v/>
      </c>
      <c r="E23" s="12" t="str">
        <f>IF(Cases!F19&lt;&gt;"",Cases!F19,"")</f>
        <v/>
      </c>
      <c r="F23" s="12" t="str">
        <f>IF(Cases!G19&lt;&gt;"",Cases!G19,"")</f>
        <v/>
      </c>
      <c r="G23" s="26" t="str">
        <f>IF(Cases!H19&lt;&gt;"",Cases!H19,"")</f>
        <v/>
      </c>
      <c r="H23" s="32" t="str">
        <f>IF(Cases!I19&lt;&gt;"",Cases!I19,"")</f>
        <v/>
      </c>
      <c r="I23" s="26" t="str">
        <f>IF(Cases!J19&lt;&gt;"",Cases!J19,"")</f>
        <v/>
      </c>
      <c r="J23" s="26" t="str">
        <f>IF(Cases!K19&lt;&gt;"",Cases!K19,"")</f>
        <v/>
      </c>
      <c r="K23" s="26" t="str">
        <f>IF(Cases!L19&lt;&gt;"",Cases!L19,"")</f>
        <v/>
      </c>
      <c r="L23" s="26" t="str">
        <f t="shared" si="1"/>
        <v/>
      </c>
      <c r="M23" s="26" t="str">
        <f>IF(Cases!M19&lt;&gt;"",Cases!M19,"")</f>
        <v/>
      </c>
      <c r="N23" s="6" t="str">
        <f>IF(Cases!O19&lt;&gt;"",Cases!O19,"")</f>
        <v/>
      </c>
    </row>
    <row r="24" spans="1:14" ht="42.6" customHeight="1" x14ac:dyDescent="0.3">
      <c r="A24" s="35">
        <f t="shared" si="2"/>
        <v>19</v>
      </c>
      <c r="B24" s="11" t="str">
        <f>IF(Cases!C20&lt;&gt;"",Cases!C20,"")</f>
        <v/>
      </c>
      <c r="C24" s="11" t="str">
        <f>IF(Cases!D20&lt;&gt;"",Cases!D20,"")</f>
        <v/>
      </c>
      <c r="D24" s="13" t="str">
        <f>IF(Cases!E20&lt;&gt;"",Cases!E20,"")</f>
        <v/>
      </c>
      <c r="E24" s="12" t="str">
        <f>IF(Cases!F20&lt;&gt;"",Cases!F20,"")</f>
        <v/>
      </c>
      <c r="F24" s="12" t="str">
        <f>IF(Cases!G20&lt;&gt;"",Cases!G20,"")</f>
        <v/>
      </c>
      <c r="G24" s="26" t="str">
        <f>IF(Cases!H20&lt;&gt;"",Cases!H20,"")</f>
        <v/>
      </c>
      <c r="H24" s="32" t="str">
        <f>IF(Cases!I20&lt;&gt;"",Cases!I20,"")</f>
        <v/>
      </c>
      <c r="I24" s="26" t="str">
        <f>IF(Cases!J20&lt;&gt;"",Cases!J20,"")</f>
        <v/>
      </c>
      <c r="J24" s="26" t="str">
        <f>IF(Cases!K20&lt;&gt;"",Cases!K20,"")</f>
        <v/>
      </c>
      <c r="K24" s="26" t="str">
        <f>IF(Cases!L20&lt;&gt;"",Cases!L20,"")</f>
        <v/>
      </c>
      <c r="L24" s="26" t="str">
        <f t="shared" si="1"/>
        <v/>
      </c>
      <c r="M24" s="26" t="str">
        <f>IF(Cases!M20&lt;&gt;"",Cases!M20,"")</f>
        <v/>
      </c>
      <c r="N24" s="6" t="str">
        <f>IF(Cases!O20&lt;&gt;"",Cases!O20,"")</f>
        <v/>
      </c>
    </row>
    <row r="25" spans="1:14" ht="42.6" customHeight="1" x14ac:dyDescent="0.3">
      <c r="A25" s="36">
        <f t="shared" si="2"/>
        <v>20</v>
      </c>
      <c r="B25" s="14" t="str">
        <f>IF(Cases!C21&lt;&gt;"",Cases!C21,"")</f>
        <v/>
      </c>
      <c r="C25" s="14" t="str">
        <f>IF(Cases!D21&lt;&gt;"",Cases!D21,"")</f>
        <v/>
      </c>
      <c r="D25" s="15" t="str">
        <f>IF(Cases!E21&lt;&gt;"",Cases!E21,"")</f>
        <v/>
      </c>
      <c r="E25" s="16" t="str">
        <f>IF(Cases!F21&lt;&gt;"",Cases!F21,"")</f>
        <v/>
      </c>
      <c r="F25" s="16" t="str">
        <f>IF(Cases!G21&lt;&gt;"",Cases!G21,"")</f>
        <v/>
      </c>
      <c r="G25" s="28" t="str">
        <f>IF(Cases!H21&lt;&gt;"",Cases!H21,"")</f>
        <v/>
      </c>
      <c r="H25" s="51" t="str">
        <f>IF(Cases!I21&lt;&gt;"",Cases!I21,"")</f>
        <v/>
      </c>
      <c r="I25" s="28" t="str">
        <f>IF(Cases!J21&lt;&gt;"",Cases!J21,"")</f>
        <v/>
      </c>
      <c r="J25" s="28" t="str">
        <f>IF(Cases!K21&lt;&gt;"",Cases!K21,"")</f>
        <v/>
      </c>
      <c r="K25" s="28" t="str">
        <f>IF(Cases!L21&lt;&gt;"",Cases!L21,"")</f>
        <v/>
      </c>
      <c r="L25" s="28" t="str">
        <f t="shared" si="1"/>
        <v/>
      </c>
      <c r="M25" s="28" t="str">
        <f>IF(Cases!M21&lt;&gt;"",Cases!M21,"")</f>
        <v/>
      </c>
      <c r="N25" s="17" t="str">
        <f>IF(Cases!O21&lt;&gt;"",Cases!O21,"")</f>
        <v/>
      </c>
    </row>
    <row r="27" spans="1:14" x14ac:dyDescent="0.3">
      <c r="I27" s="33"/>
      <c r="K27" s="44"/>
      <c r="L27" s="45" t="s">
        <v>32</v>
      </c>
      <c r="M27" s="44">
        <f>SUM(表格3[事件費用])</f>
        <v>0</v>
      </c>
    </row>
    <row r="28" spans="1:14" x14ac:dyDescent="0.3">
      <c r="I28" s="33"/>
      <c r="K28" s="44"/>
      <c r="L28" s="45" t="s">
        <v>33</v>
      </c>
      <c r="M28" s="44">
        <f>MIN(表格3[額度結餘])</f>
        <v>0</v>
      </c>
    </row>
    <row r="29" spans="1:14" x14ac:dyDescent="0.3">
      <c r="I29" s="33"/>
    </row>
  </sheetData>
  <mergeCells count="1">
    <mergeCell ref="A2:N2"/>
  </mergeCells>
  <phoneticPr fontId="3" type="noConversion"/>
  <pageMargins left="0.43307086614173229" right="0.43307086614173229" top="0.15748031496062992" bottom="0.35433070866141736" header="0.11811023622047245" footer="0.11811023622047245"/>
  <pageSetup paperSize="9" scale="47" orientation="landscape" r:id="rId1"/>
  <colBreaks count="1" manualBreakCount="1">
    <brk id="14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Cases</vt:lpstr>
      <vt:lpstr>客戶報告</vt:lpstr>
      <vt:lpstr>客戶報告!Print_Area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t33664</cp:lastModifiedBy>
  <cp:lastPrinted>2026-03-25T08:53:24Z</cp:lastPrinted>
  <dcterms:created xsi:type="dcterms:W3CDTF">2026-03-25T06:14:09Z</dcterms:created>
  <dcterms:modified xsi:type="dcterms:W3CDTF">2026-03-25T08:53:52Z</dcterms:modified>
</cp:coreProperties>
</file>